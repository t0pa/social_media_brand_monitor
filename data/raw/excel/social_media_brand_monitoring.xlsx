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latform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ostsTable" displayName="PostsTable" ref="A1:H6" headerRowCount="1">
  <autoFilter ref="A1:H6"/>
  <tableColumns count="8">
    <tableColumn id="1" name="Date"/>
    <tableColumn id="2" name="Platform"/>
    <tableColumn id="3" name="Post_ID"/>
    <tableColumn id="4" name="Likes"/>
    <tableColumn id="5" name="Comments"/>
    <tableColumn id="6" name="Shares"/>
    <tableColumn id="7" name="Sentiment"/>
    <tableColumn id="8" name="Engageme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Post_ID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Sentiment</t>
        </is>
      </c>
      <c r="H1" t="inlineStr">
        <is>
          <t>Engagement</t>
        </is>
      </c>
    </row>
    <row r="2">
      <c r="A2" t="inlineStr">
        <is>
          <t>2026-03-01</t>
        </is>
      </c>
      <c r="B2" t="inlineStr">
        <is>
          <t>Twitter</t>
        </is>
      </c>
      <c r="C2" t="inlineStr">
        <is>
          <t>T001</t>
        </is>
      </c>
      <c r="D2" t="n">
        <v>1200</v>
      </c>
      <c r="E2" t="n">
        <v>300</v>
      </c>
      <c r="F2" t="n">
        <v>150</v>
      </c>
      <c r="G2" t="inlineStr">
        <is>
          <t>Positive</t>
        </is>
      </c>
      <c r="H2">
        <f>D2+E2+F2</f>
        <v/>
      </c>
    </row>
    <row r="3">
      <c r="A3" t="inlineStr">
        <is>
          <t>2026-03-02</t>
        </is>
      </c>
      <c r="B3" t="inlineStr">
        <is>
          <t>Instagram</t>
        </is>
      </c>
      <c r="C3" t="inlineStr">
        <is>
          <t>I001</t>
        </is>
      </c>
      <c r="D3" t="n">
        <v>2500</v>
      </c>
      <c r="E3" t="n">
        <v>400</v>
      </c>
      <c r="F3" t="n">
        <v>200</v>
      </c>
      <c r="G3" t="inlineStr">
        <is>
          <t>Positive</t>
        </is>
      </c>
      <c r="H3">
        <f>D3+E3+F3</f>
        <v/>
      </c>
    </row>
    <row r="4">
      <c r="A4" t="inlineStr">
        <is>
          <t>2026-03-03</t>
        </is>
      </c>
      <c r="B4" t="inlineStr">
        <is>
          <t>Facebook</t>
        </is>
      </c>
      <c r="C4" t="inlineStr">
        <is>
          <t>F001</t>
        </is>
      </c>
      <c r="D4" t="n">
        <v>800</v>
      </c>
      <c r="E4" t="n">
        <v>120</v>
      </c>
      <c r="F4" t="n">
        <v>60</v>
      </c>
      <c r="G4" t="inlineStr">
        <is>
          <t>Neutral</t>
        </is>
      </c>
      <c r="H4">
        <f>D4+E4+F4</f>
        <v/>
      </c>
    </row>
    <row r="5">
      <c r="A5" t="inlineStr">
        <is>
          <t>2026-03-04</t>
        </is>
      </c>
      <c r="B5" t="inlineStr">
        <is>
          <t>Twitter</t>
        </is>
      </c>
      <c r="C5" t="inlineStr">
        <is>
          <t>T002</t>
        </is>
      </c>
      <c r="D5" t="n">
        <v>600</v>
      </c>
      <c r="E5" t="n">
        <v>200</v>
      </c>
      <c r="F5" t="n">
        <v>90</v>
      </c>
      <c r="G5" t="inlineStr">
        <is>
          <t>Negative</t>
        </is>
      </c>
      <c r="H5">
        <f>D5+E5+F5</f>
        <v/>
      </c>
    </row>
    <row r="6">
      <c r="A6" t="inlineStr">
        <is>
          <t>2026-03-05</t>
        </is>
      </c>
      <c r="B6" t="inlineStr">
        <is>
          <t>Instagram</t>
        </is>
      </c>
      <c r="C6" t="inlineStr">
        <is>
          <t>I002</t>
        </is>
      </c>
      <c r="D6" t="n">
        <v>3000</v>
      </c>
      <c r="E6" t="n">
        <v>500</v>
      </c>
      <c r="F6" t="n">
        <v>250</v>
      </c>
      <c r="G6" t="inlineStr">
        <is>
          <t>Positive</t>
        </is>
      </c>
      <c r="H6">
        <f>D6+E6+F6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Posts</t>
        </is>
      </c>
      <c r="B2">
        <f>COUNTA(Posts!C2:C6)</f>
        <v/>
      </c>
    </row>
    <row r="3">
      <c r="A3" t="inlineStr">
        <is>
          <t>Total Engagement</t>
        </is>
      </c>
      <c r="B3">
        <f>SUM(Posts!H2:H6)</f>
        <v/>
      </c>
    </row>
    <row r="4">
      <c r="A4" t="inlineStr">
        <is>
          <t>Positive Posts</t>
        </is>
      </c>
      <c r="B4">
        <f>COUNTIF(Posts!G2:G6,"Positive")</f>
        <v/>
      </c>
    </row>
    <row r="5">
      <c r="A5" t="inlineStr">
        <is>
          <t>Negative Posts</t>
        </is>
      </c>
      <c r="B5">
        <f>COUNTIF(Posts!G2:G6,"Negative")</f>
        <v/>
      </c>
    </row>
    <row r="6">
      <c r="A6" t="inlineStr">
        <is>
          <t>Neutral Posts</t>
        </is>
      </c>
      <c r="B6">
        <f>COUNTIF(Posts!G2:G6,"Neutral")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 Engagement</t>
        </is>
      </c>
    </row>
    <row r="2">
      <c r="A2" t="inlineStr">
        <is>
          <t>Twitter</t>
        </is>
      </c>
      <c r="B2">
        <f>SUMIF(Posts!B2:B6,"Twitter",Posts!H2:H6)</f>
        <v/>
      </c>
    </row>
    <row r="3">
      <c r="A3" t="inlineStr">
        <is>
          <t>Instagram</t>
        </is>
      </c>
      <c r="B3">
        <f>SUMIF(Posts!B2:B6,"Instagram",Posts!H2:H6)</f>
        <v/>
      </c>
    </row>
    <row r="4">
      <c r="A4" t="inlineStr">
        <is>
          <t>Facebook</t>
        </is>
      </c>
      <c r="B4">
        <f>SUMIF(Posts!B2:B6,"Facebook",Posts!H2:H6)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2026-03-25T10:38:52Z</dcterms:created>
  <dcterms:modified xmlns:dcterms="http://purl.org/dc/terms/" xmlns:xsi="http://www.w3.org/2001/XMLSchema-instance" xsi:type="dcterms:W3CDTF">2026-03-25T10:38:52Z</dcterms:modified>
</cp:coreProperties>
</file>